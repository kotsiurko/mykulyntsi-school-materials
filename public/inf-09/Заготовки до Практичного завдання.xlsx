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ebDev\SCHOOL\mykulyntsi-school-materials\public\inf-09\"/>
    </mc:Choice>
  </mc:AlternateContent>
  <xr:revisionPtr revIDLastSave="0" documentId="13_ncr:1_{411A1FBF-0E92-4EF5-BD48-C6AE385E4743}" xr6:coauthVersionLast="47" xr6:coauthVersionMax="47" xr10:uidLastSave="{00000000-0000-0000-0000-000000000000}"/>
  <bookViews>
    <workbookView xWindow="-120" yWindow="-120" windowWidth="29040" windowHeight="15930" xr2:uid="{00000000-000D-0000-FFFF-FFFF00000000}"/>
  </bookViews>
  <sheets>
    <sheet name="Лист1" sheetId="1" r:id="rId1"/>
    <sheet name="Лист1 (2)" sheetId="2" r:id="rId2"/>
    <sheet name="Лист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B11" i="3"/>
  <c r="J4" i="2"/>
  <c r="I4" i="2"/>
  <c r="H4" i="2"/>
  <c r="D11" i="2"/>
  <c r="C11" i="2"/>
  <c r="B11" i="2"/>
  <c r="C11" i="1"/>
  <c r="D11" i="1"/>
  <c r="B11" i="1"/>
</calcChain>
</file>

<file path=xl/sharedStrings.xml><?xml version="1.0" encoding="utf-8"?>
<sst xmlns="http://schemas.openxmlformats.org/spreadsheetml/2006/main" count="45" uniqueCount="14">
  <si>
    <t>Золото</t>
  </si>
  <si>
    <t>Бронза</t>
  </si>
  <si>
    <t>Срібло</t>
  </si>
  <si>
    <t>Загалом</t>
  </si>
  <si>
    <t>Місце</t>
  </si>
  <si>
    <t>2020 Токіо</t>
  </si>
  <si>
    <t>2016 Ріо</t>
  </si>
  <si>
    <t>2012 Лондон</t>
  </si>
  <si>
    <t>2008 Пекін</t>
  </si>
  <si>
    <t>2004 Афіни</t>
  </si>
  <si>
    <t>2000 Сідней</t>
  </si>
  <si>
    <t>1996 Атланта</t>
  </si>
  <si>
    <t>Результати участі в лініх олімпіадах параолімпійської збірної України</t>
  </si>
  <si>
    <t>Олімпіада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</si>
</sst>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color rgb="FF202122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8"/>
      <color rgb="FF202122"/>
      <name val="Arial"/>
      <family val="2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2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4" borderId="10" xfId="0" applyFont="1" applyFill="1" applyBorder="1"/>
    <xf numFmtId="0" fontId="3" fillId="2" borderId="11" xfId="0" applyFont="1" applyFill="1" applyBorder="1" applyAlignment="1">
      <alignment vertical="center" wrapText="1"/>
    </xf>
  </cellXfs>
  <cellStyles count="1">
    <cellStyle name="Звичайний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rgb="FF000000"/>
          <bgColor rgb="FFF8F9FA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rgb="FF000000"/>
          <bgColor rgb="FFF8F9FA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family val="2"/>
        <charset val="204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Медалі</a:t>
            </a:r>
            <a:r>
              <a:rPr lang="uk-UA" b="1" baseline="0">
                <a:solidFill>
                  <a:schemeClr val="tx1"/>
                </a:solidFill>
              </a:rPr>
              <a:t> українських параолімпійців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Лист1!$A$4</c:f>
              <c:strCache>
                <c:ptCount val="1"/>
                <c:pt idx="0">
                  <c:v>1996 Атланта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Лист1!$B$4:$D$4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E-4FB3-8E0D-3B3C4EC56F70}"/>
            </c:ext>
          </c:extLst>
        </c:ser>
        <c:ser>
          <c:idx val="1"/>
          <c:order val="1"/>
          <c:tx>
            <c:strRef>
              <c:f>Лист1!$A$5</c:f>
              <c:strCache>
                <c:ptCount val="1"/>
                <c:pt idx="0">
                  <c:v>2000 Сідней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Лист1!$B$5:$D$5</c:f>
              <c:numCache>
                <c:formatCode>General</c:formatCode>
                <c:ptCount val="3"/>
                <c:pt idx="0">
                  <c:v>3</c:v>
                </c:pt>
                <c:pt idx="1">
                  <c:v>20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1E-4FB3-8E0D-3B3C4EC56F70}"/>
            </c:ext>
          </c:extLst>
        </c:ser>
        <c:ser>
          <c:idx val="2"/>
          <c:order val="2"/>
          <c:tx>
            <c:strRef>
              <c:f>Лист1!$A$6</c:f>
              <c:strCache>
                <c:ptCount val="1"/>
                <c:pt idx="0">
                  <c:v>2004 Афіни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Лист1!$B$6:$D$6</c:f>
              <c:numCache>
                <c:formatCode>General</c:formatCode>
                <c:ptCount val="3"/>
                <c:pt idx="0">
                  <c:v>24</c:v>
                </c:pt>
                <c:pt idx="1">
                  <c:v>12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1E-4FB3-8E0D-3B3C4EC56F70}"/>
            </c:ext>
          </c:extLst>
        </c:ser>
        <c:ser>
          <c:idx val="3"/>
          <c:order val="3"/>
          <c:tx>
            <c:strRef>
              <c:f>Лист1!$A$7</c:f>
              <c:strCache>
                <c:ptCount val="1"/>
                <c:pt idx="0">
                  <c:v>2008 Пекін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Лист1!$B$7:$D$7</c:f>
              <c:numCache>
                <c:formatCode>General</c:formatCode>
                <c:ptCount val="3"/>
                <c:pt idx="0">
                  <c:v>24</c:v>
                </c:pt>
                <c:pt idx="1">
                  <c:v>18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1E-4FB3-8E0D-3B3C4EC56F70}"/>
            </c:ext>
          </c:extLst>
        </c:ser>
        <c:ser>
          <c:idx val="4"/>
          <c:order val="4"/>
          <c:tx>
            <c:strRef>
              <c:f>Лист1!$A$8</c:f>
              <c:strCache>
                <c:ptCount val="1"/>
                <c:pt idx="0">
                  <c:v>2012 Лондон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Лист1!$B$8:$D$8</c:f>
              <c:numCache>
                <c:formatCode>General</c:formatCode>
                <c:ptCount val="3"/>
                <c:pt idx="0">
                  <c:v>32</c:v>
                </c:pt>
                <c:pt idx="1">
                  <c:v>24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1E-4FB3-8E0D-3B3C4EC56F70}"/>
            </c:ext>
          </c:extLst>
        </c:ser>
        <c:ser>
          <c:idx val="5"/>
          <c:order val="5"/>
          <c:tx>
            <c:strRef>
              <c:f>Лист1!$A$9</c:f>
              <c:strCache>
                <c:ptCount val="1"/>
                <c:pt idx="0">
                  <c:v>2016 Ріо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Лист1!$B$9:$D$9</c:f>
              <c:numCache>
                <c:formatCode>General</c:formatCode>
                <c:ptCount val="3"/>
                <c:pt idx="0">
                  <c:v>41</c:v>
                </c:pt>
                <c:pt idx="1">
                  <c:v>37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1E-4FB3-8E0D-3B3C4EC56F70}"/>
            </c:ext>
          </c:extLst>
        </c:ser>
        <c:ser>
          <c:idx val="6"/>
          <c:order val="6"/>
          <c:tx>
            <c:strRef>
              <c:f>Лист1!$A$10</c:f>
              <c:strCache>
                <c:ptCount val="1"/>
                <c:pt idx="0">
                  <c:v>2020 Токіо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Лист1!$B$3:$D$3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Лист1!$B$10:$D$10</c:f>
              <c:numCache>
                <c:formatCode>General</c:formatCode>
                <c:ptCount val="3"/>
                <c:pt idx="0">
                  <c:v>24</c:v>
                </c:pt>
                <c:pt idx="1">
                  <c:v>47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1E-4FB3-8E0D-3B3C4EC56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6684735"/>
        <c:axId val="1106690143"/>
      </c:barChart>
      <c:catAx>
        <c:axId val="110668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6690143"/>
        <c:crosses val="autoZero"/>
        <c:auto val="1"/>
        <c:lblAlgn val="ctr"/>
        <c:lblOffset val="100"/>
        <c:noMultiLvlLbl val="0"/>
      </c:catAx>
      <c:valAx>
        <c:axId val="110669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668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Результати виступу параолімпійців</a:t>
            </a:r>
          </a:p>
          <a:p>
            <a:pPr>
              <a:defRPr/>
            </a:pPr>
            <a:r>
              <a:rPr lang="uk-UA" b="1">
                <a:solidFill>
                  <a:schemeClr val="tx1"/>
                </a:solidFill>
              </a:rPr>
              <a:t>на літніх олімпіадах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Золото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Лист1!$B$4:$B$10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24</c:v>
                </c:pt>
                <c:pt idx="3">
                  <c:v>24</c:v>
                </c:pt>
                <c:pt idx="4">
                  <c:v>32</c:v>
                </c:pt>
                <c:pt idx="5">
                  <c:v>41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2-4838-9EF3-38491B43C982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Срібло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Лист1!$C$4:$C$10</c:f>
              <c:numCache>
                <c:formatCode>General</c:formatCode>
                <c:ptCount val="7"/>
                <c:pt idx="0">
                  <c:v>4</c:v>
                </c:pt>
                <c:pt idx="1">
                  <c:v>20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37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2-4838-9EF3-38491B43C982}"/>
            </c:ext>
          </c:extLst>
        </c:ser>
        <c:ser>
          <c:idx val="2"/>
          <c:order val="2"/>
          <c:tx>
            <c:strRef>
              <c:f>Лист1!$D$3</c:f>
              <c:strCache>
                <c:ptCount val="1"/>
                <c:pt idx="0">
                  <c:v>Бронза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Лист1!$D$4:$D$10</c:f>
              <c:numCache>
                <c:formatCode>General</c:formatCode>
                <c:ptCount val="7"/>
                <c:pt idx="0">
                  <c:v>2</c:v>
                </c:pt>
                <c:pt idx="1">
                  <c:v>14</c:v>
                </c:pt>
                <c:pt idx="2">
                  <c:v>19</c:v>
                </c:pt>
                <c:pt idx="3">
                  <c:v>32</c:v>
                </c:pt>
                <c:pt idx="4">
                  <c:v>28</c:v>
                </c:pt>
                <c:pt idx="5">
                  <c:v>39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B2-4838-9EF3-38491B43C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06699711"/>
        <c:axId val="320144767"/>
      </c:barChart>
      <c:catAx>
        <c:axId val="110669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0144767"/>
        <c:crosses val="autoZero"/>
        <c:auto val="1"/>
        <c:lblAlgn val="ctr"/>
        <c:lblOffset val="100"/>
        <c:noMultiLvlLbl val="0"/>
      </c:catAx>
      <c:valAx>
        <c:axId val="32014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669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b="1">
                <a:solidFill>
                  <a:schemeClr val="tx1"/>
                </a:solidFill>
              </a:rPr>
              <a:t>Кількість медалей параолімпійської</a:t>
            </a:r>
            <a:endParaRPr lang="uk-UA" sz="1400" b="1" i="0" u="none" strike="noStrike" baseline="0">
              <a:solidFill>
                <a:schemeClr val="tx1"/>
              </a:solidFill>
              <a:effectLst/>
            </a:endParaRPr>
          </a:p>
          <a:p>
            <a:pPr>
              <a:defRPr/>
            </a:pPr>
            <a:r>
              <a:rPr lang="uk-UA" sz="1400" b="1" i="0" u="none" strike="noStrike" baseline="0">
                <a:solidFill>
                  <a:schemeClr val="tx1"/>
                </a:solidFill>
                <a:effectLst/>
              </a:rPr>
              <a:t>збірної на олімпіадах з 1996 по 2020 рр.</a:t>
            </a:r>
            <a:endParaRPr lang="uk-UA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3A-4F07-A397-C8F3AF80CD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3A-4F07-A397-C8F3AF80CD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3A-4F07-A397-C8F3AF80CD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'Лист1 (2)'!$H$3:$J$3</c:f>
              <c:strCache>
                <c:ptCount val="3"/>
                <c:pt idx="0">
                  <c:v>Золото</c:v>
                </c:pt>
                <c:pt idx="1">
                  <c:v>Срібло</c:v>
                </c:pt>
                <c:pt idx="2">
                  <c:v>Бронза</c:v>
                </c:pt>
              </c:strCache>
            </c:strRef>
          </c:cat>
          <c:val>
            <c:numRef>
              <c:f>'Лист1 (2)'!$H$4:$J$4</c:f>
              <c:numCache>
                <c:formatCode>General</c:formatCode>
                <c:ptCount val="3"/>
                <c:pt idx="0">
                  <c:v>149</c:v>
                </c:pt>
                <c:pt idx="1">
                  <c:v>162</c:v>
                </c:pt>
                <c:pt idx="2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6-480D-98B0-D08D2EED94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'Лист1 (3)'!$B$3</c:f>
              <c:strCache>
                <c:ptCount val="1"/>
                <c:pt idx="0">
                  <c:v>Золото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'Лист1 (3)'!$A$4:$A$10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'Лист1 (3)'!$B$4:$B$10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24</c:v>
                </c:pt>
                <c:pt idx="3">
                  <c:v>24</c:v>
                </c:pt>
                <c:pt idx="4">
                  <c:v>32</c:v>
                </c:pt>
                <c:pt idx="5">
                  <c:v>41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8-4990-BE19-05EE626B706B}"/>
            </c:ext>
          </c:extLst>
        </c:ser>
        <c:ser>
          <c:idx val="1"/>
          <c:order val="1"/>
          <c:tx>
            <c:strRef>
              <c:f>'Лист1 (3)'!$C$3</c:f>
              <c:strCache>
                <c:ptCount val="1"/>
                <c:pt idx="0">
                  <c:v>Срібло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'Лист1 (3)'!$A$4:$A$10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'Лист1 (3)'!$C$4:$C$10</c:f>
              <c:numCache>
                <c:formatCode>General</c:formatCode>
                <c:ptCount val="7"/>
                <c:pt idx="0">
                  <c:v>4</c:v>
                </c:pt>
                <c:pt idx="1">
                  <c:v>20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37</c:v>
                </c:pt>
                <c:pt idx="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8-4990-BE19-05EE626B706B}"/>
            </c:ext>
          </c:extLst>
        </c:ser>
        <c:ser>
          <c:idx val="2"/>
          <c:order val="2"/>
          <c:tx>
            <c:strRef>
              <c:f>'Лист1 (3)'!$D$3</c:f>
              <c:strCache>
                <c:ptCount val="1"/>
                <c:pt idx="0">
                  <c:v>Бронза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'Лист1 (3)'!$A$4:$A$10</c:f>
              <c:strCache>
                <c:ptCount val="7"/>
                <c:pt idx="0">
                  <c:v>1996 Атланта</c:v>
                </c:pt>
                <c:pt idx="1">
                  <c:v>2000 Сідней</c:v>
                </c:pt>
                <c:pt idx="2">
                  <c:v>2004 Афіни</c:v>
                </c:pt>
                <c:pt idx="3">
                  <c:v>2008 Пекін</c:v>
                </c:pt>
                <c:pt idx="4">
                  <c:v>2012 Лондон</c:v>
                </c:pt>
                <c:pt idx="5">
                  <c:v>2016 Ріо</c:v>
                </c:pt>
                <c:pt idx="6">
                  <c:v>2020 Токіо</c:v>
                </c:pt>
              </c:strCache>
            </c:strRef>
          </c:cat>
          <c:val>
            <c:numRef>
              <c:f>'Лист1 (3)'!$D$4:$D$10</c:f>
              <c:numCache>
                <c:formatCode>General</c:formatCode>
                <c:ptCount val="7"/>
                <c:pt idx="0">
                  <c:v>2</c:v>
                </c:pt>
                <c:pt idx="1">
                  <c:v>14</c:v>
                </c:pt>
                <c:pt idx="2">
                  <c:v>19</c:v>
                </c:pt>
                <c:pt idx="3">
                  <c:v>32</c:v>
                </c:pt>
                <c:pt idx="4">
                  <c:v>28</c:v>
                </c:pt>
                <c:pt idx="5">
                  <c:v>39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8-4990-BE19-05EE626B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509695"/>
        <c:axId val="2092506783"/>
      </c:radarChart>
      <c:catAx>
        <c:axId val="209250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92506783"/>
        <c:crosses val="autoZero"/>
        <c:auto val="1"/>
        <c:lblAlgn val="ctr"/>
        <c:lblOffset val="100"/>
        <c:noMultiLvlLbl val="0"/>
      </c:catAx>
      <c:valAx>
        <c:axId val="20925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925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12</xdr:row>
      <xdr:rowOff>41910</xdr:rowOff>
    </xdr:from>
    <xdr:to>
      <xdr:col>7</xdr:col>
      <xdr:colOff>320040</xdr:colOff>
      <xdr:row>28</xdr:row>
      <xdr:rowOff>30480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13B5DB85-93AF-4A92-AA18-2DA2BAECF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53340</xdr:rowOff>
    </xdr:from>
    <xdr:to>
      <xdr:col>8</xdr:col>
      <xdr:colOff>300990</xdr:colOff>
      <xdr:row>45</xdr:row>
      <xdr:rowOff>34290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7FCEDE6D-87B7-4C79-90D4-AB1E9AC57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95250</xdr:rowOff>
    </xdr:from>
    <xdr:to>
      <xdr:col>8</xdr:col>
      <xdr:colOff>323850</xdr:colOff>
      <xdr:row>63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EF9D229-45C5-4D90-986D-293E79EC27D2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58250"/>
          <a:ext cx="5695950" cy="315277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</xdr:colOff>
      <xdr:row>65</xdr:row>
      <xdr:rowOff>0</xdr:rowOff>
    </xdr:from>
    <xdr:to>
      <xdr:col>8</xdr:col>
      <xdr:colOff>323851</xdr:colOff>
      <xdr:row>81</xdr:row>
      <xdr:rowOff>171450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7D9BB9B-5EB7-4B4B-9054-25665B89C216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2382500"/>
          <a:ext cx="5695950" cy="32194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4</xdr:row>
      <xdr:rowOff>179070</xdr:rowOff>
    </xdr:from>
    <xdr:to>
      <xdr:col>15</xdr:col>
      <xdr:colOff>342900</xdr:colOff>
      <xdr:row>22</xdr:row>
      <xdr:rowOff>7620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4BBC3AF7-B781-45F9-8ED0-69B1E187B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80010</xdr:rowOff>
    </xdr:from>
    <xdr:to>
      <xdr:col>15</xdr:col>
      <xdr:colOff>175260</xdr:colOff>
      <xdr:row>17</xdr:row>
      <xdr:rowOff>121920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63A32138-0590-4C62-9696-0D4A8320A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F11" totalsRowCount="1" headerRowDxfId="50" dataDxfId="48" headerRowBorderDxfId="49" tableBorderDxfId="47" totalsRowBorderDxfId="46">
  <autoFilter ref="A3:F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Олімпіада" dataDxfId="45" totalsRowDxfId="44"/>
    <tableColumn id="2" xr3:uid="{00000000-0010-0000-0000-000002000000}" name="Золото" totalsRowFunction="sum" dataDxfId="43" totalsRowDxfId="42"/>
    <tableColumn id="3" xr3:uid="{00000000-0010-0000-0000-000003000000}" name="Срібло" totalsRowFunction="sum" dataDxfId="41" totalsRowDxfId="40"/>
    <tableColumn id="4" xr3:uid="{00000000-0010-0000-0000-000004000000}" name="Бронза" totalsRowFunction="sum" dataDxfId="39" totalsRowDxfId="38"/>
    <tableColumn id="5" xr3:uid="{00000000-0010-0000-0000-000005000000}" name="Загалом" dataDxfId="37" totalsRowDxfId="36"/>
    <tableColumn id="6" xr3:uid="{00000000-0010-0000-0000-000006000000}" name="Місце" dataDxfId="35" totalsRow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59D15C-DBCC-4465-A99F-A40CFD44DD34}" name="Таблица13" displayName="Таблица13" ref="A3:F11" totalsRowCount="1" headerRowDxfId="33" dataDxfId="31" headerRowBorderDxfId="32" tableBorderDxfId="30" totalsRowBorderDxfId="29">
  <autoFilter ref="A3:F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C14A94D-D37E-48E4-B75B-E60849CEB671}" name="Олімпіада" dataDxfId="28" totalsRowDxfId="27"/>
    <tableColumn id="2" xr3:uid="{8A7AACB8-F3CA-4785-B1B5-947259AA1BA0}" name="Золото" totalsRowFunction="sum" dataDxfId="26" totalsRowDxfId="25"/>
    <tableColumn id="3" xr3:uid="{D3C1A554-25CE-4DF6-B0CD-B95B4805B287}" name="Срібло" totalsRowFunction="sum" dataDxfId="24" totalsRowDxfId="23"/>
    <tableColumn id="4" xr3:uid="{53365A86-6080-4382-8E2C-BA09AEC22000}" name="Бронза" totalsRowFunction="sum" dataDxfId="22" totalsRowDxfId="21"/>
    <tableColumn id="5" xr3:uid="{10514A22-7D07-4D4B-B51A-27089DC6DFBD}" name="Загалом" dataDxfId="20" totalsRowDxfId="19"/>
    <tableColumn id="6" xr3:uid="{0D5BD09A-3F52-4022-935E-EB0F84305D7D}" name="Місце" dataDxfId="18" totalsRow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F7DAA4-9469-4A3C-A36F-BBC4E36BFFE3}" name="Таблица134" displayName="Таблица134" ref="A3:F11" totalsRowCount="1" headerRowDxfId="16" dataDxfId="14" headerRowBorderDxfId="15" tableBorderDxfId="13" totalsRowBorderDxfId="12">
  <autoFilter ref="A3:F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FF43E0-6233-4AA7-ABDE-0547FB49EB5C}" name="Олімпіада" dataDxfId="11" totalsRowDxfId="10"/>
    <tableColumn id="2" xr3:uid="{142BF9DD-B025-4D7F-8ECA-38FEB90CA9BE}" name="Золото" totalsRowFunction="sum" dataDxfId="9" totalsRowDxfId="8"/>
    <tableColumn id="3" xr3:uid="{C74E1666-6B06-4800-BACB-7298E56A2C96}" name="Срібло" totalsRowFunction="sum" dataDxfId="7" totalsRowDxfId="6"/>
    <tableColumn id="4" xr3:uid="{F43F5B1B-37ED-4051-936F-9F61051EE78C}" name="Бронза" totalsRowFunction="sum" dataDxfId="5" totalsRowDxfId="4"/>
    <tableColumn id="5" xr3:uid="{FB6E0DFF-AD05-44CA-83C6-604C9BF1F27B}" name="Загалом" dataDxfId="3" totalsRowDxfId="2"/>
    <tableColumn id="6" xr3:uid="{72E5FE36-8F4C-43AD-954E-EF3F2F06C60B}" name="Місце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49" zoomScaleNormal="100" workbookViewId="0">
      <selection activeCell="K76" sqref="K76"/>
    </sheetView>
  </sheetViews>
  <sheetFormatPr defaultRowHeight="15" x14ac:dyDescent="0.25"/>
  <cols>
    <col min="1" max="1" width="16.5703125" customWidth="1"/>
    <col min="12" max="12" width="12.28515625" bestFit="1" customWidth="1"/>
  </cols>
  <sheetData>
    <row r="1" spans="1:6" x14ac:dyDescent="0.25">
      <c r="A1" t="s">
        <v>12</v>
      </c>
    </row>
    <row r="3" spans="1:6" x14ac:dyDescent="0.25">
      <c r="A3" s="4" t="s">
        <v>13</v>
      </c>
      <c r="B3" s="5" t="s">
        <v>0</v>
      </c>
      <c r="C3" s="5" t="s">
        <v>2</v>
      </c>
      <c r="D3" s="5" t="s">
        <v>1</v>
      </c>
      <c r="E3" s="5" t="s">
        <v>3</v>
      </c>
      <c r="F3" s="6" t="s">
        <v>4</v>
      </c>
    </row>
    <row r="4" spans="1:6" x14ac:dyDescent="0.25">
      <c r="A4" s="2" t="s">
        <v>11</v>
      </c>
      <c r="B4" s="1">
        <v>1</v>
      </c>
      <c r="C4" s="1">
        <v>4</v>
      </c>
      <c r="D4" s="1">
        <v>2</v>
      </c>
      <c r="E4" s="1">
        <v>7</v>
      </c>
      <c r="F4" s="3">
        <v>44</v>
      </c>
    </row>
    <row r="5" spans="1:6" x14ac:dyDescent="0.25">
      <c r="A5" s="2" t="s">
        <v>10</v>
      </c>
      <c r="B5" s="1">
        <v>3</v>
      </c>
      <c r="C5" s="1">
        <v>20</v>
      </c>
      <c r="D5" s="1">
        <v>14</v>
      </c>
      <c r="E5" s="1">
        <v>37</v>
      </c>
      <c r="F5" s="3">
        <v>35</v>
      </c>
    </row>
    <row r="6" spans="1:6" x14ac:dyDescent="0.25">
      <c r="A6" s="2" t="s">
        <v>9</v>
      </c>
      <c r="B6" s="1">
        <v>24</v>
      </c>
      <c r="C6" s="1">
        <v>12</v>
      </c>
      <c r="D6" s="1">
        <v>19</v>
      </c>
      <c r="E6" s="1">
        <v>55</v>
      </c>
      <c r="F6" s="3">
        <v>6</v>
      </c>
    </row>
    <row r="7" spans="1:6" x14ac:dyDescent="0.25">
      <c r="A7" s="2" t="s">
        <v>8</v>
      </c>
      <c r="B7" s="1">
        <v>24</v>
      </c>
      <c r="C7" s="1">
        <v>18</v>
      </c>
      <c r="D7" s="1">
        <v>32</v>
      </c>
      <c r="E7" s="1">
        <v>74</v>
      </c>
      <c r="F7" s="3">
        <v>4</v>
      </c>
    </row>
    <row r="8" spans="1:6" x14ac:dyDescent="0.25">
      <c r="A8" s="2" t="s">
        <v>7</v>
      </c>
      <c r="B8" s="1">
        <v>32</v>
      </c>
      <c r="C8" s="1">
        <v>24</v>
      </c>
      <c r="D8" s="1">
        <v>28</v>
      </c>
      <c r="E8" s="1">
        <v>84</v>
      </c>
      <c r="F8" s="3">
        <v>4</v>
      </c>
    </row>
    <row r="9" spans="1:6" x14ac:dyDescent="0.25">
      <c r="A9" s="2" t="s">
        <v>6</v>
      </c>
      <c r="B9" s="1">
        <v>41</v>
      </c>
      <c r="C9" s="1">
        <v>37</v>
      </c>
      <c r="D9" s="1">
        <v>39</v>
      </c>
      <c r="E9" s="1">
        <v>117</v>
      </c>
      <c r="F9" s="3">
        <v>3</v>
      </c>
    </row>
    <row r="10" spans="1:6" x14ac:dyDescent="0.25">
      <c r="A10" s="7" t="s">
        <v>5</v>
      </c>
      <c r="B10" s="8">
        <v>24</v>
      </c>
      <c r="C10" s="8">
        <v>47</v>
      </c>
      <c r="D10" s="8">
        <v>27</v>
      </c>
      <c r="E10" s="8">
        <v>98</v>
      </c>
      <c r="F10" s="9">
        <v>6</v>
      </c>
    </row>
    <row r="11" spans="1:6" x14ac:dyDescent="0.25">
      <c r="A11" s="7"/>
      <c r="B11" s="10">
        <f>SUBTOTAL(109,Таблица1[Золото])</f>
        <v>149</v>
      </c>
      <c r="C11" s="10">
        <f>SUBTOTAL(109,Таблица1[Срібло])</f>
        <v>162</v>
      </c>
      <c r="D11" s="10">
        <f>SUBTOTAL(109,Таблица1[Бронза])</f>
        <v>161</v>
      </c>
      <c r="E11" s="10"/>
      <c r="F11" s="11"/>
    </row>
  </sheetData>
  <phoneticPr fontId="4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A4D7-A81B-4686-8BC1-7342D1F5EA68}">
  <dimension ref="A1:J11"/>
  <sheetViews>
    <sheetView zoomScaleNormal="100" workbookViewId="0">
      <selection activeCell="A13" sqref="A13"/>
    </sheetView>
  </sheetViews>
  <sheetFormatPr defaultRowHeight="15" x14ac:dyDescent="0.25"/>
  <cols>
    <col min="1" max="1" width="16.5703125" customWidth="1"/>
    <col min="12" max="12" width="12.28515625" bestFit="1" customWidth="1"/>
  </cols>
  <sheetData>
    <row r="1" spans="1:10" x14ac:dyDescent="0.25">
      <c r="A1" t="s">
        <v>12</v>
      </c>
    </row>
    <row r="3" spans="1:10" x14ac:dyDescent="0.25">
      <c r="A3" s="4" t="s">
        <v>13</v>
      </c>
      <c r="B3" s="5" t="s">
        <v>0</v>
      </c>
      <c r="C3" s="5" t="s">
        <v>2</v>
      </c>
      <c r="D3" s="5" t="s">
        <v>1</v>
      </c>
      <c r="E3" s="5" t="s">
        <v>3</v>
      </c>
      <c r="F3" s="6" t="s">
        <v>4</v>
      </c>
      <c r="H3" s="12" t="s">
        <v>0</v>
      </c>
      <c r="I3" s="12" t="s">
        <v>2</v>
      </c>
      <c r="J3" s="12" t="s">
        <v>1</v>
      </c>
    </row>
    <row r="4" spans="1:10" x14ac:dyDescent="0.25">
      <c r="A4" s="2" t="s">
        <v>11</v>
      </c>
      <c r="B4" s="1">
        <v>1</v>
      </c>
      <c r="C4" s="1">
        <v>4</v>
      </c>
      <c r="D4" s="1">
        <v>2</v>
      </c>
      <c r="E4" s="1">
        <v>7</v>
      </c>
      <c r="F4" s="3">
        <v>44</v>
      </c>
      <c r="H4" s="13">
        <f>SUBTOTAL(109,Таблица13[Золото])</f>
        <v>149</v>
      </c>
      <c r="I4" s="13">
        <f>SUBTOTAL(109,Таблица13[Срібло])</f>
        <v>162</v>
      </c>
      <c r="J4" s="13">
        <f>SUBTOTAL(109,Таблица13[Бронза])</f>
        <v>161</v>
      </c>
    </row>
    <row r="5" spans="1:10" x14ac:dyDescent="0.25">
      <c r="A5" s="2" t="s">
        <v>10</v>
      </c>
      <c r="B5" s="1">
        <v>3</v>
      </c>
      <c r="C5" s="1">
        <v>20</v>
      </c>
      <c r="D5" s="1">
        <v>14</v>
      </c>
      <c r="E5" s="1">
        <v>37</v>
      </c>
      <c r="F5" s="3">
        <v>35</v>
      </c>
    </row>
    <row r="6" spans="1:10" x14ac:dyDescent="0.25">
      <c r="A6" s="2" t="s">
        <v>9</v>
      </c>
      <c r="B6" s="1">
        <v>24</v>
      </c>
      <c r="C6" s="1">
        <v>12</v>
      </c>
      <c r="D6" s="1">
        <v>19</v>
      </c>
      <c r="E6" s="1">
        <v>55</v>
      </c>
      <c r="F6" s="3">
        <v>6</v>
      </c>
    </row>
    <row r="7" spans="1:10" x14ac:dyDescent="0.25">
      <c r="A7" s="2" t="s">
        <v>8</v>
      </c>
      <c r="B7" s="1">
        <v>24</v>
      </c>
      <c r="C7" s="1">
        <v>18</v>
      </c>
      <c r="D7" s="1">
        <v>32</v>
      </c>
      <c r="E7" s="1">
        <v>74</v>
      </c>
      <c r="F7" s="3">
        <v>4</v>
      </c>
    </row>
    <row r="8" spans="1:10" x14ac:dyDescent="0.25">
      <c r="A8" s="2" t="s">
        <v>7</v>
      </c>
      <c r="B8" s="1">
        <v>32</v>
      </c>
      <c r="C8" s="1">
        <v>24</v>
      </c>
      <c r="D8" s="1">
        <v>28</v>
      </c>
      <c r="E8" s="1">
        <v>84</v>
      </c>
      <c r="F8" s="3">
        <v>4</v>
      </c>
    </row>
    <row r="9" spans="1:10" x14ac:dyDescent="0.25">
      <c r="A9" s="2" t="s">
        <v>6</v>
      </c>
      <c r="B9" s="1">
        <v>41</v>
      </c>
      <c r="C9" s="1">
        <v>37</v>
      </c>
      <c r="D9" s="1">
        <v>39</v>
      </c>
      <c r="E9" s="1">
        <v>117</v>
      </c>
      <c r="F9" s="3">
        <v>3</v>
      </c>
    </row>
    <row r="10" spans="1:10" x14ac:dyDescent="0.25">
      <c r="A10" s="7" t="s">
        <v>5</v>
      </c>
      <c r="B10" s="8">
        <v>24</v>
      </c>
      <c r="C10" s="8">
        <v>47</v>
      </c>
      <c r="D10" s="8">
        <v>27</v>
      </c>
      <c r="E10" s="8">
        <v>98</v>
      </c>
      <c r="F10" s="9">
        <v>6</v>
      </c>
    </row>
    <row r="11" spans="1:10" x14ac:dyDescent="0.25">
      <c r="A11" s="7"/>
      <c r="B11" s="10">
        <f>SUBTOTAL(109,Таблица13[Золото])</f>
        <v>149</v>
      </c>
      <c r="C11" s="10">
        <f>SUBTOTAL(109,Таблица13[Срібло])</f>
        <v>162</v>
      </c>
      <c r="D11" s="10">
        <f>SUBTOTAL(109,Таблица13[Бронза])</f>
        <v>161</v>
      </c>
      <c r="E11" s="10"/>
      <c r="F11" s="11"/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3482-7B9A-494F-AC1C-A8252B425790}">
  <dimension ref="A1:F11"/>
  <sheetViews>
    <sheetView zoomScaleNormal="100" workbookViewId="0">
      <selection activeCell="A12" sqref="A12"/>
    </sheetView>
  </sheetViews>
  <sheetFormatPr defaultRowHeight="15" x14ac:dyDescent="0.25"/>
  <cols>
    <col min="1" max="1" width="16.5703125" customWidth="1"/>
    <col min="12" max="12" width="12.28515625" bestFit="1" customWidth="1"/>
  </cols>
  <sheetData>
    <row r="1" spans="1:6" x14ac:dyDescent="0.25">
      <c r="A1" t="s">
        <v>12</v>
      </c>
    </row>
    <row r="3" spans="1:6" x14ac:dyDescent="0.25">
      <c r="A3" s="4" t="s">
        <v>13</v>
      </c>
      <c r="B3" s="5" t="s">
        <v>0</v>
      </c>
      <c r="C3" s="5" t="s">
        <v>2</v>
      </c>
      <c r="D3" s="5" t="s">
        <v>1</v>
      </c>
      <c r="E3" s="5" t="s">
        <v>3</v>
      </c>
      <c r="F3" s="6" t="s">
        <v>4</v>
      </c>
    </row>
    <row r="4" spans="1:6" x14ac:dyDescent="0.25">
      <c r="A4" s="2" t="s">
        <v>11</v>
      </c>
      <c r="B4" s="1">
        <v>1</v>
      </c>
      <c r="C4" s="1">
        <v>4</v>
      </c>
      <c r="D4" s="1">
        <v>2</v>
      </c>
      <c r="E4" s="1">
        <v>7</v>
      </c>
      <c r="F4" s="3">
        <v>44</v>
      </c>
    </row>
    <row r="5" spans="1:6" x14ac:dyDescent="0.25">
      <c r="A5" s="2" t="s">
        <v>10</v>
      </c>
      <c r="B5" s="1">
        <v>3</v>
      </c>
      <c r="C5" s="1">
        <v>20</v>
      </c>
      <c r="D5" s="1">
        <v>14</v>
      </c>
      <c r="E5" s="1">
        <v>37</v>
      </c>
      <c r="F5" s="3">
        <v>35</v>
      </c>
    </row>
    <row r="6" spans="1:6" x14ac:dyDescent="0.25">
      <c r="A6" s="2" t="s">
        <v>9</v>
      </c>
      <c r="B6" s="1">
        <v>24</v>
      </c>
      <c r="C6" s="1">
        <v>12</v>
      </c>
      <c r="D6" s="1">
        <v>19</v>
      </c>
      <c r="E6" s="1">
        <v>55</v>
      </c>
      <c r="F6" s="3">
        <v>6</v>
      </c>
    </row>
    <row r="7" spans="1:6" x14ac:dyDescent="0.25">
      <c r="A7" s="2" t="s">
        <v>8</v>
      </c>
      <c r="B7" s="1">
        <v>24</v>
      </c>
      <c r="C7" s="1">
        <v>18</v>
      </c>
      <c r="D7" s="1">
        <v>32</v>
      </c>
      <c r="E7" s="1">
        <v>74</v>
      </c>
      <c r="F7" s="3">
        <v>4</v>
      </c>
    </row>
    <row r="8" spans="1:6" x14ac:dyDescent="0.25">
      <c r="A8" s="2" t="s">
        <v>7</v>
      </c>
      <c r="B8" s="1">
        <v>32</v>
      </c>
      <c r="C8" s="1">
        <v>24</v>
      </c>
      <c r="D8" s="1">
        <v>28</v>
      </c>
      <c r="E8" s="1">
        <v>84</v>
      </c>
      <c r="F8" s="3">
        <v>4</v>
      </c>
    </row>
    <row r="9" spans="1:6" x14ac:dyDescent="0.25">
      <c r="A9" s="2" t="s">
        <v>6</v>
      </c>
      <c r="B9" s="1">
        <v>41</v>
      </c>
      <c r="C9" s="1">
        <v>37</v>
      </c>
      <c r="D9" s="1">
        <v>39</v>
      </c>
      <c r="E9" s="1">
        <v>117</v>
      </c>
      <c r="F9" s="3">
        <v>3</v>
      </c>
    </row>
    <row r="10" spans="1:6" x14ac:dyDescent="0.25">
      <c r="A10" s="7" t="s">
        <v>5</v>
      </c>
      <c r="B10" s="8">
        <v>24</v>
      </c>
      <c r="C10" s="8">
        <v>47</v>
      </c>
      <c r="D10" s="8">
        <v>27</v>
      </c>
      <c r="E10" s="8">
        <v>98</v>
      </c>
      <c r="F10" s="9">
        <v>6</v>
      </c>
    </row>
    <row r="11" spans="1:6" x14ac:dyDescent="0.25">
      <c r="A11" s="7"/>
      <c r="B11" s="10">
        <f>SUBTOTAL(109,Таблица134[Золото])</f>
        <v>149</v>
      </c>
      <c r="C11" s="10">
        <f>SUBTOTAL(109,Таблица134[Срібло])</f>
        <v>162</v>
      </c>
      <c r="D11" s="10">
        <f>SUBTOTAL(109,Таблица134[Бронза])</f>
        <v>161</v>
      </c>
      <c r="E11" s="10"/>
      <c r="F11" s="11"/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Лист1 (2)</vt:lpstr>
      <vt:lpstr>Лист1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Барна</dc:creator>
  <cp:lastModifiedBy>Roman</cp:lastModifiedBy>
  <dcterms:created xsi:type="dcterms:W3CDTF">2021-10-06T09:53:08Z</dcterms:created>
  <dcterms:modified xsi:type="dcterms:W3CDTF">2025-11-18T21:14:10Z</dcterms:modified>
</cp:coreProperties>
</file>